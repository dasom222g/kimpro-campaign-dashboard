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보고 양식" sheetId="1" r:id="rId1"/>
  </sheets>
  <definedNames>
    <definedName name="_xlnm.Print_Area" localSheetId="0">'보고 양식'!$A$1:$F$50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3">
    <numFmt numFmtId="56" formatCode="&quot;上午/下午 &quot;hh&quot;時&quot;mm&quot;分&quot;ss&quot;秒 &quot;"/>
    <numFmt numFmtId="60" formatCode="0.0%"/>
    <numFmt numFmtId="61" formatCode="yyyy-mm-dd"/>
  </numFmts>
  <fonts count="8">
    <font>
      <sz val="12"/>
      <color theme="1"/>
      <name val="Calibri"/>
      <family val="2"/>
      <scheme val="minor"/>
    </font>
    <font>
      <sz val="11"/>
      <color rgb="FF172D48"/>
      <name val="맑은 고딕"/>
    </font>
    <font>
      <sz val="22"/>
      <color rgb="FFFFFFFF"/>
      <name val="맑은 고딕"/>
      <b/>
    </font>
    <font>
      <sz val="12"/>
      <color rgb="FFFFFFFF"/>
      <name val="맑은 고딕"/>
      <b/>
    </font>
    <font>
      <sz val="11"/>
      <color rgb="FF315BE8"/>
      <name val="맑은 고딕"/>
    </font>
    <font>
      <sz val="10"/>
      <color rgb="FF64748A"/>
      <name val="맑은 고딕"/>
    </font>
    <font>
      <sz val="16"/>
      <color rgb="FF172D48"/>
      <name val="맑은 고딕"/>
      <b/>
    </font>
    <font>
      <sz val="11"/>
      <color rgb="FF172D48"/>
      <name val="맑은 고딕"/>
      <b/>
    </font>
  </fonts>
  <fills count="7">
    <fill>
      <patternFill patternType="none"/>
    </fill>
    <fill>
      <patternFill patternType="gray125"/>
    </fill>
    <fill>
      <patternFill patternType="solid">
        <fgColor rgb="FF172D48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F4F6FA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  <xf numFmtId="0" fontId="2" fillId="2" borderId="0" xfId="0" applyFont="1" applyFill="1" applyNumberFormat="1" applyAlignment="1">
      <alignment horizontal="left" vertical="center" wrapText="1"/>
    </xf>
    <xf numFmtId="0" fontId="5" fillId="6" borderId="0" xfId="0" applyFont="1" applyFill="1" applyNumberFormat="1" applyAlignment="1">
      <alignment horizontal="left" vertical="center" wrapText="1"/>
    </xf>
    <xf numFmtId="0" fontId="7" fillId="4" borderId="0" xfId="0" applyFont="1" applyFill="1" applyNumberFormat="1" applyAlignment="1">
      <alignment horizontal="left" vertical="center" wrapText="1"/>
    </xf>
    <xf numFmtId="0" fontId="4" fillId="4" borderId="0" xfId="0" applyFont="1" applyFill="1" applyNumberFormat="1" applyAlignment="1">
      <alignment horizontal="left" vertical="center" wrapText="1"/>
    </xf>
    <xf numFmtId="0" fontId="3" fillId="2" borderId="0" xfId="0" applyFont="1" applyFill="1" applyNumberFormat="1" applyAlignment="1">
      <alignment horizontal="left" vertical="center" wrapText="1"/>
    </xf>
    <xf numFmtId="0" fontId="7" fillId="3" borderId="0" xfId="0" applyFont="1" applyFill="1" applyNumberFormat="1" applyAlignment="1">
      <alignment horizontal="left" vertical="center" wrapText="1"/>
    </xf>
    <xf numFmtId="3" fontId="6" fillId="3" borderId="0" xfId="0" applyFont="1" applyFill="1" applyNumberFormat="1" applyAlignment="1">
      <alignment horizontal="right" vertical="center" wrapText="1"/>
    </xf>
    <xf numFmtId="60" fontId="6" fillId="3" borderId="0" xfId="0" applyFont="1" applyFill="1" applyNumberFormat="1" applyAlignment="1">
      <alignment horizontal="right" vertical="center" wrapText="1"/>
    </xf>
    <xf numFmtId="1" fontId="6" fillId="3" borderId="0" xfId="0" applyFont="1" applyFill="1" applyNumberFormat="1" applyAlignment="1">
      <alignment horizontal="right" vertical="center" wrapText="1"/>
    </xf>
    <xf numFmtId="0" fontId="1" fillId="6" borderId="0" xfId="0" applyFont="1" applyFill="1" applyNumberFormat="1" applyAlignment="1">
      <alignment horizontal="left" vertical="center" wrapText="1"/>
    </xf>
    <xf numFmtId="3" fontId="1" fillId="6" borderId="0" xfId="0" applyFont="1" applyFill="1" applyNumberFormat="1" applyAlignment="1">
      <alignment horizontal="right" vertical="center" wrapText="1"/>
    </xf>
    <xf numFmtId="60" fontId="1" fillId="6" borderId="0" xfId="0" applyFont="1" applyFill="1" applyNumberFormat="1" applyAlignment="1">
      <alignment horizontal="right" vertical="center" wrapText="1"/>
    </xf>
    <xf numFmtId="1" fontId="1" fillId="6" borderId="0" xfId="0" applyFont="1" applyFill="1" applyNumberFormat="1" applyAlignment="1">
      <alignment horizontal="right" vertical="center" wrapText="1"/>
    </xf>
    <xf numFmtId="3" fontId="1" fillId="4" borderId="0" xfId="0" applyFont="1" applyFill="1" applyNumberFormat="1" applyAlignment="1">
      <alignment horizontal="right" vertical="center" wrapText="1"/>
    </xf>
    <xf numFmtId="3" fontId="4" fillId="4" borderId="0" xfId="0" applyFont="1" applyFill="1" applyNumberFormat="1" applyAlignment="1">
      <alignment horizontal="right" vertical="center" wrapText="1"/>
    </xf>
    <xf numFmtId="61" fontId="4" fillId="4" borderId="0" xfId="0" applyFont="1" applyFill="1" applyNumberFormat="1" applyAlignment="1">
      <alignment horizontal="right" vertical="center" wrapText="1"/>
    </xf>
    <xf numFmtId="0" fontId="1" fillId="4" borderId="0" xfId="0" applyFont="1" applyFill="1" applyNumberFormat="1" applyAlignment="1">
      <alignment horizontal="left" vertical="center" wrapText="1"/>
    </xf>
    <xf numFmtId="0" fontId="4" fillId="6" borderId="0" xfId="0" applyFont="1" applyFill="1" applyNumberFormat="1" applyAlignment="1">
      <alignment horizontal="left" vertical="center" wrapText="1"/>
    </xf>
    <xf numFmtId="3" fontId="4" fillId="6" borderId="0" xfId="0" applyFont="1" applyFill="1" applyNumberFormat="1" applyAlignment="1">
      <alignment horizontal="right" vertical="center" wrapText="1"/>
    </xf>
    <xf numFmtId="61" fontId="4" fillId="6" borderId="0" xfId="0" applyFont="1" applyFill="1" applyNumberFormat="1" applyAlignment="1">
      <alignment horizontal="right" vertical="center" wrapText="1"/>
    </xf>
    <xf numFmtId="0" fontId="1" fillId="6" borderId="0" xfId="0" applyFont="1" applyFill="1" applyNumberFormat="1" applyAlignment="1">
      <alignment horizontal="right" vertical="center" wrapText="1"/>
    </xf>
    <xf numFmtId="0" fontId="1" fillId="4" borderId="0" xfId="0" applyFont="1" applyFill="1" applyNumberFormat="1" applyAlignment="1">
      <alignment horizontal="right" vertical="center" wrapText="1"/>
    </xf>
    <xf numFmtId="0" fontId="1" fillId="5" borderId="0" xfId="0" applyFont="1" applyFill="1" applyNumberFormat="1" applyAlignment="1">
      <alignment horizontal="left" vertical="center" wrapText="1"/>
    </xf>
    <xf numFmtId="3" fontId="1" fillId="5" borderId="0" xfId="0" applyFont="1" applyFill="1" applyNumberFormat="1" applyAlignment="1">
      <alignment horizontal="right" vertical="center" wrapText="1"/>
    </xf>
    <xf numFmtId="61" fontId="1" fillId="5" borderId="0" xfId="0" applyFont="1" applyFill="1" applyNumberFormat="1" applyAlignment="1">
      <alignment horizontal="right" vertical="center" wrapText="1"/>
    </xf>
    <xf numFmtId="3" fontId="1" fillId="6" borderId="0" xfId="0" applyFont="1" applyFill="1" applyNumberFormat="1" applyAlignment="1">
      <alignment horizontal="left" vertical="center" wrapText="1"/>
    </xf>
    <xf numFmtId="61" fontId="1" fillId="6" borderId="0" xfId="0" applyFont="1" applyFill="1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G50"/>
  <sheetViews>
    <sheetView workbookViewId="0" showGridLines="0"/>
  </sheetViews>
  <cols>
    <col min="1" max="1" width="36.83203125" customWidth="1"/>
    <col min="2" max="2" width="20.83203125" customWidth="1"/>
    <col min="3" max="3" width="16.83203125" customWidth="1"/>
    <col min="4" max="4" width="20.83203125" customWidth="1"/>
    <col min="5" max="5" width="17.83203125" customWidth="1"/>
    <col min="6" max="6" width="17.83203125" customWidth="1"/>
    <col min="7" max="7" hidden="true"/>
  </cols>
  <sheetData>
    <row r="1" ht="38" customHeight="1">
      <c r="A1" t="str" s="5">
        <v>매체별 집행 보고서</v>
      </c>
    </row>
    <row r="2" ht="26" customHeight="1">
      <c r="A2" t="str" s="6">
        <v>김 프로 업무 예시 · 가상 보고 양식 / 루미에르 홈 캠페인 작성 예시</v>
      </c>
    </row>
    <row r="3" ht="24" customHeight="1"/>
    <row r="4" ht="24" customHeight="1">
      <c r="A4" t="str" s="7">
        <v>캠페인명</v>
      </c>
      <c r="B4" t="str" s="8">
        <v>루미에르 홈 · 가을 리뉴얼 캠페인</v>
      </c>
    </row>
    <row r="5" ht="24" customHeight="1">
      <c r="A5" t="str" s="7">
        <v>집행일 범위</v>
      </c>
      <c r="B5" t="str" s="8">
        <v>2026-10-05 ~ 2026-10-16</v>
      </c>
      <c r="E5" t="str" s="8">
        <v>금액 단위</v>
      </c>
      <c r="F5" t="str" s="8">
        <v>원</v>
      </c>
    </row>
    <row r="6" ht="24" customHeight="1"/>
    <row r="7" ht="24" customHeight="1">
      <c r="A7" t="str" s="9">
        <v>01  예산 요약</v>
      </c>
    </row>
    <row r="8" ht="24" customHeight="1">
      <c r="A8" t="str" s="10">
        <v>총예산(원)</v>
      </c>
      <c r="B8" t="str" s="10">
        <v>총 집행액(원)</v>
      </c>
      <c r="C8" t="str" s="10">
        <v>소진율</v>
      </c>
      <c r="D8" t="str" s="10">
        <v>잔여 예산(원)</v>
      </c>
      <c r="E8" t="str" s="10">
        <v>미집행(건)</v>
      </c>
      <c r="F8" t="str" s="10">
        <v>전체 내역(건)</v>
      </c>
    </row>
    <row r="9" ht="24" customHeight="1">
      <c r="A9" s="11">
        <v>50000000</v>
      </c>
      <c r="B9" s="11">
        <f>SUM(D20:D31)</f>
        <v>16200000</v>
      </c>
      <c r="C9" s="12">
        <f>IF(A9=0,"—",B9/A9)</f>
        <v>0.324</v>
      </c>
      <c r="D9" s="11">
        <f>A9-B9</f>
        <v>33800000</v>
      </c>
      <c r="E9" s="13">
        <f>COUNTIF(F20:F31,"미집행")</f>
        <v>3</v>
      </c>
      <c r="F9" s="13">
        <f>COUNTA(C20:C31)</f>
        <v>12</v>
      </c>
    </row>
    <row r="10" ht="24" customHeight="1"/>
    <row r="11" ht="24" customHeight="1">
      <c r="A11" t="str" s="9">
        <v>02  매체별 집행액</v>
      </c>
    </row>
    <row r="12" ht="24" customHeight="1">
      <c r="A12" t="str" s="10">
        <v>매체</v>
      </c>
      <c r="B12" t="str" s="10">
        <v>집행액(원)</v>
      </c>
      <c r="C12" t="str" s="10">
        <v>집행 비중</v>
      </c>
      <c r="D12" t="str" s="10">
        <v>내역(건)</v>
      </c>
      <c r="E12" t="str" s="10">
        <v>미집행(건)</v>
      </c>
      <c r="F12" t="str" s="10">
        <v/>
      </c>
    </row>
    <row r="13" ht="24" customHeight="1">
      <c r="A13" t="str" s="14">
        <v>Meta</v>
      </c>
      <c r="B13" s="15">
        <f>SUMIF(C$20:C$31,A13,D$20:D$31)</f>
        <v>5400000</v>
      </c>
      <c r="C13" s="16">
        <f>IF($B$9=0,0,B13/$B$9)</f>
        <v>0.3333333333333333</v>
      </c>
      <c r="D13" s="17">
        <f>COUNTIF(C$20:C$31,A13)</f>
        <v>4</v>
      </c>
      <c r="E13" s="17">
        <f>COUNTIFS(C$20:C$31,A13,F$20:F$31,"미집행")</f>
        <v>1</v>
      </c>
    </row>
    <row r="14" ht="24" customHeight="1">
      <c r="A14" t="str" s="14">
        <v>Google</v>
      </c>
      <c r="B14" s="15">
        <f>SUMIF(C$20:C$31,A14,D$20:D$31)</f>
        <v>7200000</v>
      </c>
      <c r="C14" s="16">
        <f>IF($B$9=0,0,B14/$B$9)</f>
        <v>0.4444444444444444</v>
      </c>
      <c r="D14" s="17">
        <f>COUNTIF(C$20:C$31,A14)</f>
        <v>4</v>
      </c>
      <c r="E14" s="17">
        <f>COUNTIFS(C$20:C$31,A14,F$20:F$31,"미집행")</f>
        <v>1</v>
      </c>
    </row>
    <row r="15" ht="24" customHeight="1">
      <c r="A15" t="str" s="14">
        <v>Naver</v>
      </c>
      <c r="B15" s="15">
        <f>SUMIF(C$20:C$31,A15,D$20:D$31)</f>
        <v>3600000</v>
      </c>
      <c r="C15" s="16">
        <f>IF($B$9=0,0,B15/$B$9)</f>
        <v>0.2222222222222222</v>
      </c>
      <c r="D15" s="17">
        <f>COUNTIF(C$20:C$31,A15)</f>
        <v>4</v>
      </c>
      <c r="E15" s="17">
        <f>COUNTIFS(C$20:C$31,A15,F$20:F$31,"미집행")</f>
        <v>1</v>
      </c>
    </row>
    <row r="16" ht="24" customHeight="1"/>
    <row r="17" ht="24" customHeight="1">
      <c r="A17" t="str" s="9">
        <v>03  매체별 집행 내역</v>
      </c>
    </row>
    <row r="18" ht="28" customHeight="1">
      <c r="A18" t="str" s="6">
        <v>총예산은 캠페인 기준입니다. 행별 총예산을 더하지 않습니다. 미집행 날짜는 예정일입니다.</v>
      </c>
    </row>
    <row r="19" ht="24" customHeight="1">
      <c r="A19" t="str" s="10">
        <v>캠페인명</v>
      </c>
      <c r="B19" t="str" s="10">
        <v>총예산(원)</v>
      </c>
      <c r="C19" t="str" s="10">
        <v>매체</v>
      </c>
      <c r="D19" t="str" s="10">
        <v>집행액(원)</v>
      </c>
      <c r="E19" t="str" s="10">
        <v>집행일</v>
      </c>
      <c r="F19" t="str" s="10">
        <v>집행 상태</v>
      </c>
    </row>
    <row r="20" ht="34" customHeight="1">
      <c r="A20" t="str" s="8">
        <v>루미에르 홈 · 가을 리뉴얼 캠페인</v>
      </c>
      <c r="B20" s="18">
        <f>$A$9</f>
        <v>50000000</v>
      </c>
      <c r="C20" t="str" s="8">
        <v>Meta</v>
      </c>
      <c r="D20" s="19">
        <v>1800000</v>
      </c>
      <c r="E20" s="20">
        <v>46300</v>
      </c>
      <c r="F20" t="str" s="8">
        <v>집행완료</v>
      </c>
      <c r="G20" t="str" s="21">
        <f>IF(F20="미집행",COUNTIF(F$20:F20,"미집행"),"")</f>
        <v/>
      </c>
    </row>
    <row r="21" ht="34" customHeight="1">
      <c r="A21" t="str" s="22">
        <v>루미에르 홈 · 가을 리뉴얼 캠페인</v>
      </c>
      <c r="B21" s="15">
        <f>$A$9</f>
        <v>50000000</v>
      </c>
      <c r="C21" t="str" s="22">
        <v>Google</v>
      </c>
      <c r="D21" s="23">
        <v>2400000</v>
      </c>
      <c r="E21" s="24">
        <v>46301</v>
      </c>
      <c r="F21" t="str" s="22">
        <v>집행완료</v>
      </c>
      <c r="G21" t="str" s="14">
        <f>IF(F21="미집행",COUNTIF(F$20:F21,"미집행"),"")</f>
        <v/>
      </c>
    </row>
    <row r="22" ht="34" customHeight="1">
      <c r="A22" t="str" s="8">
        <v>루미에르 홈 · 가을 리뉴얼 캠페인</v>
      </c>
      <c r="B22" s="18">
        <f>$A$9</f>
        <v>50000000</v>
      </c>
      <c r="C22" t="str" s="8">
        <v>Naver</v>
      </c>
      <c r="D22" s="19">
        <v>1200000</v>
      </c>
      <c r="E22" s="20">
        <v>46302</v>
      </c>
      <c r="F22" t="str" s="8">
        <v>집행완료</v>
      </c>
      <c r="G22" t="str" s="21">
        <f>IF(F22="미집행",COUNTIF(F$20:F22,"미집행"),"")</f>
        <v/>
      </c>
    </row>
    <row r="23" ht="34" customHeight="1">
      <c r="A23" t="str" s="22">
        <v>루미에르 홈 · 가을 리뉴얼 캠페인</v>
      </c>
      <c r="B23" s="15">
        <f>$A$9</f>
        <v>50000000</v>
      </c>
      <c r="C23" t="str" s="22">
        <v>Meta</v>
      </c>
      <c r="D23" s="23">
        <v>1800000</v>
      </c>
      <c r="E23" s="24">
        <v>46303</v>
      </c>
      <c r="F23" t="str" s="22">
        <v>집행완료</v>
      </c>
      <c r="G23" t="str" s="14">
        <f>IF(F23="미집행",COUNTIF(F$20:F23,"미집행"),"")</f>
        <v/>
      </c>
    </row>
    <row r="24" ht="34" customHeight="1">
      <c r="A24" t="str" s="8">
        <v>루미에르 홈 · 가을 리뉴얼 캠페인</v>
      </c>
      <c r="B24" s="18">
        <f>$A$9</f>
        <v>50000000</v>
      </c>
      <c r="C24" t="str" s="8">
        <v>Google</v>
      </c>
      <c r="D24" s="19">
        <v>2400000</v>
      </c>
      <c r="E24" s="20">
        <v>46304</v>
      </c>
      <c r="F24" t="str" s="8">
        <v>집행완료</v>
      </c>
      <c r="G24" t="str" s="21">
        <f>IF(F24="미집행",COUNTIF(F$20:F24,"미집행"),"")</f>
        <v/>
      </c>
    </row>
    <row r="25" ht="34" customHeight="1">
      <c r="A25" t="str" s="22">
        <v>루미에르 홈 · 가을 리뉴얼 캠페인</v>
      </c>
      <c r="B25" s="15">
        <f>$A$9</f>
        <v>50000000</v>
      </c>
      <c r="C25" t="str" s="22">
        <v>Naver</v>
      </c>
      <c r="D25" s="23">
        <v>1200000</v>
      </c>
      <c r="E25" s="24">
        <v>46305</v>
      </c>
      <c r="F25" t="str" s="22">
        <v>집행완료</v>
      </c>
      <c r="G25" t="str" s="14">
        <f>IF(F25="미집행",COUNTIF(F$20:F25,"미집행"),"")</f>
        <v/>
      </c>
    </row>
    <row r="26" ht="34" customHeight="1">
      <c r="A26" t="str" s="8">
        <v>루미에르 홈 · 가을 리뉴얼 캠페인</v>
      </c>
      <c r="B26" s="18">
        <f>$A$9</f>
        <v>50000000</v>
      </c>
      <c r="C26" t="str" s="8">
        <v>Meta</v>
      </c>
      <c r="D26" s="19">
        <v>1800000</v>
      </c>
      <c r="E26" s="20">
        <v>46306</v>
      </c>
      <c r="F26" t="str" s="8">
        <v>집행중</v>
      </c>
      <c r="G26" t="str" s="21">
        <f>IF(F26="미집행",COUNTIF(F$20:F26,"미집행"),"")</f>
        <v/>
      </c>
    </row>
    <row r="27" ht="34" customHeight="1">
      <c r="A27" t="str" s="22">
        <v>루미에르 홈 · 가을 리뉴얼 캠페인</v>
      </c>
      <c r="B27" s="15">
        <f>$A$9</f>
        <v>50000000</v>
      </c>
      <c r="C27" t="str" s="22">
        <v>Google</v>
      </c>
      <c r="D27" s="23">
        <v>2400000</v>
      </c>
      <c r="E27" s="24">
        <v>46307</v>
      </c>
      <c r="F27" t="str" s="22">
        <v>집행중</v>
      </c>
      <c r="G27" t="str" s="14">
        <f>IF(F27="미집행",COUNTIF(F$20:F27,"미집행"),"")</f>
        <v/>
      </c>
    </row>
    <row r="28" ht="34" customHeight="1">
      <c r="A28" t="str" s="8">
        <v>루미에르 홈 · 가을 리뉴얼 캠페인</v>
      </c>
      <c r="B28" s="18">
        <f>$A$9</f>
        <v>50000000</v>
      </c>
      <c r="C28" t="str" s="8">
        <v>Naver</v>
      </c>
      <c r="D28" s="19">
        <v>1200000</v>
      </c>
      <c r="E28" s="20">
        <v>46308</v>
      </c>
      <c r="F28" t="str" s="8">
        <v>집행중</v>
      </c>
      <c r="G28" t="str" s="21">
        <f>IF(F28="미집행",COUNTIF(F$20:F28,"미집행"),"")</f>
        <v/>
      </c>
    </row>
    <row r="29" ht="34" customHeight="1">
      <c r="A29" t="str" s="22">
        <v>루미에르 홈 · 가을 리뉴얼 캠페인</v>
      </c>
      <c r="B29" s="15">
        <f>$A$9</f>
        <v>50000000</v>
      </c>
      <c r="C29" t="str" s="22">
        <v>Meta</v>
      </c>
      <c r="D29" s="23">
        <v>0</v>
      </c>
      <c r="E29" s="24">
        <v>46309</v>
      </c>
      <c r="F29" t="str" s="22">
        <v>미집행</v>
      </c>
      <c r="G29" s="25">
        <f>IF(F29="미집행",COUNTIF(F$20:F29,"미집행"),"")</f>
        <v>1</v>
      </c>
    </row>
    <row r="30" ht="34" customHeight="1">
      <c r="A30" t="str" s="8">
        <v>루미에르 홈 · 가을 리뉴얼 캠페인</v>
      </c>
      <c r="B30" s="18">
        <f>$A$9</f>
        <v>50000000</v>
      </c>
      <c r="C30" t="str" s="8">
        <v>Google</v>
      </c>
      <c r="D30" s="19">
        <v>0</v>
      </c>
      <c r="E30" s="20">
        <v>46310</v>
      </c>
      <c r="F30" t="str" s="8">
        <v>미집행</v>
      </c>
      <c r="G30" s="26">
        <f>IF(F30="미집행",COUNTIF(F$20:F30,"미집행"),"")</f>
        <v>2</v>
      </c>
    </row>
    <row r="31" ht="34" customHeight="1">
      <c r="A31" t="str" s="22">
        <v>루미에르 홈 · 가을 리뉴얼 캠페인</v>
      </c>
      <c r="B31" s="15">
        <f>$A$9</f>
        <v>50000000</v>
      </c>
      <c r="C31" t="str" s="22">
        <v>Naver</v>
      </c>
      <c r="D31" s="23">
        <v>0</v>
      </c>
      <c r="E31" s="24">
        <v>46311</v>
      </c>
      <c r="F31" t="str" s="22">
        <v>미집행</v>
      </c>
      <c r="G31" s="25">
        <f>IF(F31="미집행",COUNTIF(F$20:F31,"미집행"),"")</f>
        <v>3</v>
      </c>
    </row>
    <row r="32" ht="24" customHeight="1"/>
    <row r="33" ht="24" customHeight="1">
      <c r="A33" t="str" s="9">
        <v>04  미집행 목록</v>
      </c>
    </row>
    <row r="34" ht="24" customHeight="1">
      <c r="A34" t="str" s="10">
        <v>캠페인명</v>
      </c>
      <c r="B34" t="str" s="10">
        <v>총예산(원)</v>
      </c>
      <c r="C34" t="str" s="10">
        <v>매체</v>
      </c>
      <c r="D34" t="str" s="10">
        <v>집행액(원)</v>
      </c>
      <c r="E34" t="str" s="10">
        <v>집행일</v>
      </c>
      <c r="F34" t="str" s="10">
        <v>집행 상태</v>
      </c>
    </row>
    <row r="35" ht="24" customHeight="1">
      <c r="A35" t="str" s="27">
        <f>IFERROR(INDEX(A$20:A$31,MATCH(1,$G$20:$G$31,0)),"")</f>
        <v>루미에르 홈 · 가을 리뉴얼 캠페인</v>
      </c>
      <c r="B35" s="28">
        <f>IFERROR(INDEX(B$20:B$31,MATCH(1,$G$20:$G$31,0)),"")</f>
        <v>50000000</v>
      </c>
      <c r="C35" t="str" s="27">
        <f>IFERROR(INDEX(C$20:C$31,MATCH(1,$G$20:$G$31,0)),"")</f>
        <v>Meta</v>
      </c>
      <c r="D35" s="28">
        <f>IFERROR(INDEX(D$20:D$31,MATCH(1,$G$20:$G$31,0)),"")</f>
        <v>0</v>
      </c>
      <c r="E35" s="29">
        <f>IFERROR(INDEX(E$20:E$31,MATCH(1,$G$20:$G$31,0)),"")</f>
        <v>46309</v>
      </c>
      <c r="F35" t="str" s="27">
        <f>IFERROR(INDEX(F$20:F$31,MATCH(1,$G$20:$G$31,0)),"")</f>
        <v>미집행</v>
      </c>
    </row>
    <row r="36" ht="24" customHeight="1">
      <c r="A36" t="str" s="27">
        <f>IFERROR(INDEX(A$20:A$31,MATCH(2,$G$20:$G$31,0)),"")</f>
        <v>루미에르 홈 · 가을 리뉴얼 캠페인</v>
      </c>
      <c r="B36" s="28">
        <f>IFERROR(INDEX(B$20:B$31,MATCH(2,$G$20:$G$31,0)),"")</f>
        <v>50000000</v>
      </c>
      <c r="C36" t="str" s="27">
        <f>IFERROR(INDEX(C$20:C$31,MATCH(2,$G$20:$G$31,0)),"")</f>
        <v>Google</v>
      </c>
      <c r="D36" s="28">
        <f>IFERROR(INDEX(D$20:D$31,MATCH(2,$G$20:$G$31,0)),"")</f>
        <v>0</v>
      </c>
      <c r="E36" s="29">
        <f>IFERROR(INDEX(E$20:E$31,MATCH(2,$G$20:$G$31,0)),"")</f>
        <v>46310</v>
      </c>
      <c r="F36" t="str" s="27">
        <f>IFERROR(INDEX(F$20:F$31,MATCH(2,$G$20:$G$31,0)),"")</f>
        <v>미집행</v>
      </c>
    </row>
    <row r="37" ht="24" customHeight="1">
      <c r="A37" t="str" s="27">
        <f>IFERROR(INDEX(A$20:A$31,MATCH(3,$G$20:$G$31,0)),"")</f>
        <v>루미에르 홈 · 가을 리뉴얼 캠페인</v>
      </c>
      <c r="B37" s="28">
        <f>IFERROR(INDEX(B$20:B$31,MATCH(3,$G$20:$G$31,0)),"")</f>
        <v>50000000</v>
      </c>
      <c r="C37" t="str" s="27">
        <f>IFERROR(INDEX(C$20:C$31,MATCH(3,$G$20:$G$31,0)),"")</f>
        <v>Naver</v>
      </c>
      <c r="D37" s="28">
        <f>IFERROR(INDEX(D$20:D$31,MATCH(3,$G$20:$G$31,0)),"")</f>
        <v>0</v>
      </c>
      <c r="E37" s="29">
        <f>IFERROR(INDEX(E$20:E$31,MATCH(3,$G$20:$G$31,0)),"")</f>
        <v>46311</v>
      </c>
      <c r="F37" t="str" s="27">
        <f>IFERROR(INDEX(F$20:F$31,MATCH(3,$G$20:$G$31,0)),"")</f>
        <v>미집행</v>
      </c>
    </row>
    <row r="38" ht="24" customHeight="1">
      <c r="A38" t="str" s="14">
        <f>IFERROR(INDEX(A$20:A$31,MATCH(4,$G$20:$G$31,0)),"")</f>
        <v/>
      </c>
      <c r="B38" s="30" t="str">
        <f>IFERROR(INDEX(B$20:B$31,MATCH(4,$G$20:$G$31,0)),"")</f>
        <v/>
      </c>
      <c r="C38" t="str" s="14">
        <f>IFERROR(INDEX(C$20:C$31,MATCH(4,$G$20:$G$31,0)),"")</f>
        <v/>
      </c>
      <c r="D38" s="30" t="str">
        <f>IFERROR(INDEX(D$20:D$31,MATCH(4,$G$20:$G$31,0)),"")</f>
        <v/>
      </c>
      <c r="E38" s="31" t="str">
        <f>IFERROR(INDEX(E$20:E$31,MATCH(4,$G$20:$G$31,0)),"")</f>
        <v/>
      </c>
      <c r="F38" t="str" s="14">
        <f>IFERROR(INDEX(F$20:F$31,MATCH(4,$G$20:$G$31,0)),"")</f>
        <v/>
      </c>
    </row>
    <row r="39" ht="24" customHeight="1">
      <c r="A39" t="str" s="14">
        <f>IFERROR(INDEX(A$20:A$31,MATCH(5,$G$20:$G$31,0)),"")</f>
        <v/>
      </c>
      <c r="B39" s="30" t="str">
        <f>IFERROR(INDEX(B$20:B$31,MATCH(5,$G$20:$G$31,0)),"")</f>
        <v/>
      </c>
      <c r="C39" t="str" s="14">
        <f>IFERROR(INDEX(C$20:C$31,MATCH(5,$G$20:$G$31,0)),"")</f>
        <v/>
      </c>
      <c r="D39" s="30" t="str">
        <f>IFERROR(INDEX(D$20:D$31,MATCH(5,$G$20:$G$31,0)),"")</f>
        <v/>
      </c>
      <c r="E39" s="31" t="str">
        <f>IFERROR(INDEX(E$20:E$31,MATCH(5,$G$20:$G$31,0)),"")</f>
        <v/>
      </c>
      <c r="F39" t="str" s="14">
        <f>IFERROR(INDEX(F$20:F$31,MATCH(5,$G$20:$G$31,0)),"")</f>
        <v/>
      </c>
    </row>
    <row r="40" ht="24" customHeight="1">
      <c r="A40" t="str" s="14">
        <f>IFERROR(INDEX(A$20:A$31,MATCH(6,$G$20:$G$31,0)),"")</f>
        <v/>
      </c>
      <c r="B40" s="30" t="str">
        <f>IFERROR(INDEX(B$20:B$31,MATCH(6,$G$20:$G$31,0)),"")</f>
        <v/>
      </c>
      <c r="C40" t="str" s="14">
        <f>IFERROR(INDEX(C$20:C$31,MATCH(6,$G$20:$G$31,0)),"")</f>
        <v/>
      </c>
      <c r="D40" s="30" t="str">
        <f>IFERROR(INDEX(D$20:D$31,MATCH(6,$G$20:$G$31,0)),"")</f>
        <v/>
      </c>
      <c r="E40" s="31" t="str">
        <f>IFERROR(INDEX(E$20:E$31,MATCH(6,$G$20:$G$31,0)),"")</f>
        <v/>
      </c>
      <c r="F40" t="str" s="14">
        <f>IFERROR(INDEX(F$20:F$31,MATCH(6,$G$20:$G$31,0)),"")</f>
        <v/>
      </c>
    </row>
    <row r="41" ht="24" customHeight="1">
      <c r="A41" t="str" s="14">
        <f>IFERROR(INDEX(A$20:A$31,MATCH(7,$G$20:$G$31,0)),"")</f>
        <v/>
      </c>
      <c r="B41" s="30" t="str">
        <f>IFERROR(INDEX(B$20:B$31,MATCH(7,$G$20:$G$31,0)),"")</f>
        <v/>
      </c>
      <c r="C41" t="str" s="14">
        <f>IFERROR(INDEX(C$20:C$31,MATCH(7,$G$20:$G$31,0)),"")</f>
        <v/>
      </c>
      <c r="D41" s="30" t="str">
        <f>IFERROR(INDEX(D$20:D$31,MATCH(7,$G$20:$G$31,0)),"")</f>
        <v/>
      </c>
      <c r="E41" s="31" t="str">
        <f>IFERROR(INDEX(E$20:E$31,MATCH(7,$G$20:$G$31,0)),"")</f>
        <v/>
      </c>
      <c r="F41" t="str" s="14">
        <f>IFERROR(INDEX(F$20:F$31,MATCH(7,$G$20:$G$31,0)),"")</f>
        <v/>
      </c>
    </row>
    <row r="42" ht="24" customHeight="1">
      <c r="A42" t="str" s="14">
        <f>IFERROR(INDEX(A$20:A$31,MATCH(8,$G$20:$G$31,0)),"")</f>
        <v/>
      </c>
      <c r="B42" s="30" t="str">
        <f>IFERROR(INDEX(B$20:B$31,MATCH(8,$G$20:$G$31,0)),"")</f>
        <v/>
      </c>
      <c r="C42" t="str" s="14">
        <f>IFERROR(INDEX(C$20:C$31,MATCH(8,$G$20:$G$31,0)),"")</f>
        <v/>
      </c>
      <c r="D42" s="30" t="str">
        <f>IFERROR(INDEX(D$20:D$31,MATCH(8,$G$20:$G$31,0)),"")</f>
        <v/>
      </c>
      <c r="E42" s="31" t="str">
        <f>IFERROR(INDEX(E$20:E$31,MATCH(8,$G$20:$G$31,0)),"")</f>
        <v/>
      </c>
      <c r="F42" t="str" s="14">
        <f>IFERROR(INDEX(F$20:F$31,MATCH(8,$G$20:$G$31,0)),"")</f>
        <v/>
      </c>
    </row>
    <row r="43" ht="24" customHeight="1">
      <c r="A43" t="str" s="14">
        <f>IFERROR(INDEX(A$20:A$31,MATCH(9,$G$20:$G$31,0)),"")</f>
        <v/>
      </c>
      <c r="B43" s="30" t="str">
        <f>IFERROR(INDEX(B$20:B$31,MATCH(9,$G$20:$G$31,0)),"")</f>
        <v/>
      </c>
      <c r="C43" t="str" s="14">
        <f>IFERROR(INDEX(C$20:C$31,MATCH(9,$G$20:$G$31,0)),"")</f>
        <v/>
      </c>
      <c r="D43" s="30" t="str">
        <f>IFERROR(INDEX(D$20:D$31,MATCH(9,$G$20:$G$31,0)),"")</f>
        <v/>
      </c>
      <c r="E43" s="31" t="str">
        <f>IFERROR(INDEX(E$20:E$31,MATCH(9,$G$20:$G$31,0)),"")</f>
        <v/>
      </c>
      <c r="F43" t="str" s="14">
        <f>IFERROR(INDEX(F$20:F$31,MATCH(9,$G$20:$G$31,0)),"")</f>
        <v/>
      </c>
    </row>
    <row r="44" ht="24" customHeight="1">
      <c r="A44" t="str" s="14">
        <f>IFERROR(INDEX(A$20:A$31,MATCH(10,$G$20:$G$31,0)),"")</f>
        <v/>
      </c>
      <c r="B44" s="30" t="str">
        <f>IFERROR(INDEX(B$20:B$31,MATCH(10,$G$20:$G$31,0)),"")</f>
        <v/>
      </c>
      <c r="C44" t="str" s="14">
        <f>IFERROR(INDEX(C$20:C$31,MATCH(10,$G$20:$G$31,0)),"")</f>
        <v/>
      </c>
      <c r="D44" s="30" t="str">
        <f>IFERROR(INDEX(D$20:D$31,MATCH(10,$G$20:$G$31,0)),"")</f>
        <v/>
      </c>
      <c r="E44" s="31" t="str">
        <f>IFERROR(INDEX(E$20:E$31,MATCH(10,$G$20:$G$31,0)),"")</f>
        <v/>
      </c>
      <c r="F44" t="str" s="14">
        <f>IFERROR(INDEX(F$20:F$31,MATCH(10,$G$20:$G$31,0)),"")</f>
        <v/>
      </c>
    </row>
    <row r="45" ht="24" customHeight="1">
      <c r="A45" t="str" s="14">
        <f>IFERROR(INDEX(A$20:A$31,MATCH(11,$G$20:$G$31,0)),"")</f>
        <v/>
      </c>
      <c r="B45" s="30" t="str">
        <f>IFERROR(INDEX(B$20:B$31,MATCH(11,$G$20:$G$31,0)),"")</f>
        <v/>
      </c>
      <c r="C45" t="str" s="14">
        <f>IFERROR(INDEX(C$20:C$31,MATCH(11,$G$20:$G$31,0)),"")</f>
        <v/>
      </c>
      <c r="D45" s="30" t="str">
        <f>IFERROR(INDEX(D$20:D$31,MATCH(11,$G$20:$G$31,0)),"")</f>
        <v/>
      </c>
      <c r="E45" s="31" t="str">
        <f>IFERROR(INDEX(E$20:E$31,MATCH(11,$G$20:$G$31,0)),"")</f>
        <v/>
      </c>
      <c r="F45" t="str" s="14">
        <f>IFERROR(INDEX(F$20:F$31,MATCH(11,$G$20:$G$31,0)),"")</f>
        <v/>
      </c>
    </row>
    <row r="46" ht="24" customHeight="1">
      <c r="A46" t="str" s="14">
        <f>IFERROR(INDEX(A$20:A$31,MATCH(12,$G$20:$G$31,0)),"")</f>
        <v/>
      </c>
      <c r="B46" s="30" t="str">
        <f>IFERROR(INDEX(B$20:B$31,MATCH(12,$G$20:$G$31,0)),"")</f>
        <v/>
      </c>
      <c r="C46" t="str" s="14">
        <f>IFERROR(INDEX(C$20:C$31,MATCH(12,$G$20:$G$31,0)),"")</f>
        <v/>
      </c>
      <c r="D46" s="30" t="str">
        <f>IFERROR(INDEX(D$20:D$31,MATCH(12,$G$20:$G$31,0)),"")</f>
        <v/>
      </c>
      <c r="E46" s="31" t="str">
        <f>IFERROR(INDEX(E$20:E$31,MATCH(12,$G$20:$G$31,0)),"")</f>
        <v/>
      </c>
      <c r="F46" t="str" s="14">
        <f>IFERROR(INDEX(F$20:F$31,MATCH(12,$G$20:$G$31,0)),"")</f>
        <v/>
      </c>
    </row>
    <row r="47" ht="24" customHeight="1"/>
    <row r="48" ht="28" customHeight="1">
      <c r="A48" t="str" s="6">
        <v>작성 기준: 소진율 = 총 집행액 ÷ 총예산. 예산이 0원이면 —로 표시합니다.</v>
      </c>
    </row>
    <row r="49" ht="28" customHeight="1">
      <c r="A49" t="str" s="6">
        <v>참고 파일: 01_매체별_집행내역.csv 중 루미에르 홈 12건 / 실제 회사의 보고서가 아닙니다.</v>
      </c>
    </row>
    <row r="50" ht="28" customHeight="1">
      <c r="A50" t="str" s="6">
        <v>제작 시 이 양식의 항목·순서를 참고합니다. 도구에는 CSV를 업로드하고 결과는 화면·PDF로 확인합니다.</v>
      </c>
    </row>
  </sheetData>
  <mergeCells count="12">
    <mergeCell ref="A1:F1"/>
    <mergeCell ref="A2:F2"/>
    <mergeCell ref="B4:F4"/>
    <mergeCell ref="B5:D5"/>
    <mergeCell ref="A7:F7"/>
    <mergeCell ref="A11:F11"/>
    <mergeCell ref="A17:F17"/>
    <mergeCell ref="A18:F18"/>
    <mergeCell ref="A33:F33"/>
    <mergeCell ref="A48:F48"/>
    <mergeCell ref="A49:F49"/>
    <mergeCell ref="A50:F50"/>
  </mergeCells>
  <ignoredErrors>
    <ignoredError numberStoredAsText="1" sqref="A1:G50"/>
  </ignoredErrors>
  <pageMargins left="0.3" right="0.3" top="0.4" bottom="0.4" header="0.2" footer="0.2"/>
  <pageSetup paperSize="9" orientation="portrait" fitToWidth="1" fitToHeight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보고 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